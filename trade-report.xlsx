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 - LS lãi lỗ" state="visible" r:id="rId4"/>
  </sheets>
  <calcPr calcId="171027"/>
</workbook>
</file>

<file path=xl/sharedStrings.xml><?xml version="1.0" encoding="utf-8"?>
<sst xmlns="http://schemas.openxmlformats.org/spreadsheetml/2006/main" count="170" uniqueCount="58">
  <si>
    <t>CÔNG TY CỔ PHẦN CHỨNG KHOÁN DNSE</t>
  </si>
  <si>
    <t>Tầng 6, Tòa nhà PAX SKY, 63 - 65 Ngô Thì Nhậm, Phường Hai Bà Trưng, TP. Hà Nội</t>
  </si>
  <si>
    <t>Hotline: +84 2471089234  Website: dnse.com.vn</t>
  </si>
  <si>
    <t>BÁO CÁO LỊCH SỬ KHỚP LỆNH CỦA KHÁCH HÀNG</t>
  </si>
  <si>
    <t>Từ ngày 30/03/2025 đến ngày 30/03/2026</t>
  </si>
  <si>
    <t>Tên khách hàng: Lâm Trần Hà Huy</t>
  </si>
  <si>
    <t>Mã chứng khoán:</t>
  </si>
  <si>
    <t>Tất cả</t>
  </si>
  <si>
    <t>Số tài khoản: 064C5N4YPQ</t>
  </si>
  <si>
    <t>Số tiểu khoản: 0003047884</t>
  </si>
  <si>
    <t>STT</t>
  </si>
  <si>
    <t>Ngày GD</t>
  </si>
  <si>
    <t>Loại lệnh</t>
  </si>
  <si>
    <t>Mã</t>
  </si>
  <si>
    <t>Số tiểu khoản</t>
  </si>
  <si>
    <t>Chi tiết giao dịch</t>
  </si>
  <si>
    <t>Tỷ lệ phí</t>
  </si>
  <si>
    <t>Phí</t>
  </si>
  <si>
    <t>Thuế</t>
  </si>
  <si>
    <t>Khối lượng</t>
  </si>
  <si>
    <t>Giá khớp</t>
  </si>
  <si>
    <t>Giá trị khớp</t>
  </si>
  <si>
    <t>Phí trả Sở</t>
  </si>
  <si>
    <t>Phí DNSE</t>
  </si>
  <si>
    <t>04/03/2026</t>
  </si>
  <si>
    <t>MUA</t>
  </si>
  <si>
    <t>VND</t>
  </si>
  <si>
    <t>0003047884</t>
  </si>
  <si>
    <t>POW</t>
  </si>
  <si>
    <t>27/02/2026</t>
  </si>
  <si>
    <t>BÁN</t>
  </si>
  <si>
    <t>PET</t>
  </si>
  <si>
    <t>04/02/2026</t>
  </si>
  <si>
    <t>03/02/2026</t>
  </si>
  <si>
    <t>HCM</t>
  </si>
  <si>
    <t>29/01/2026</t>
  </si>
  <si>
    <t>MSN</t>
  </si>
  <si>
    <t>22/01/2026</t>
  </si>
  <si>
    <t>21/01/2026</t>
  </si>
  <si>
    <t>16/01/2026</t>
  </si>
  <si>
    <t>04/11/2025</t>
  </si>
  <si>
    <t>17/10/2025</t>
  </si>
  <si>
    <t>HPG</t>
  </si>
  <si>
    <t>10/10/2025</t>
  </si>
  <si>
    <t>HSG</t>
  </si>
  <si>
    <t>12/09/2025</t>
  </si>
  <si>
    <t>TNI</t>
  </si>
  <si>
    <t>05/09/2025</t>
  </si>
  <si>
    <t>20/08/2025</t>
  </si>
  <si>
    <t>11/08/2025</t>
  </si>
  <si>
    <t>VPG</t>
  </si>
  <si>
    <t>12/06/2025</t>
  </si>
  <si>
    <t>05/06/2025</t>
  </si>
  <si>
    <t>TNT</t>
  </si>
  <si>
    <t>09/04/2025</t>
  </si>
  <si>
    <t>01/04/2025</t>
  </si>
  <si>
    <t>Tổng cộng</t>
  </si>
  <si>
    <t>Ngày 29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</si>
</sst>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name val="Calibri"/>
    </font>
    <font>
      <name val="Arial"/>
    </font>
    <font>
      <b/>
      <name val="Arial"/>
    </font>
    <font>
      <b/>
      <color rgb="ffffff"/>
      <name val="Arial"/>
    </font>
    <font>
      <i/>
      <name val="Arial"/>
    </font>
  </fonts>
  <fills count="3">
    <fill>
      <patternFill patternType="none"/>
    </fill>
    <fill>
      <patternFill patternType="gray125"/>
    </fill>
    <fill>
      <patternFill patternType="solid">
        <fgColor rgb="91131C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10" fontId="2" fillId="0" borderId="1" xfId="0" applyNumberFormat="1" applyFont="1" applyBorder="1" applyAlignment="1">
      <alignment horizontal="right"/>
    </xf>
    <xf numFmtId="0" fontId="3" fillId="0" borderId="0" xfId="0" applyFont="1"/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10" fontId="3" fillId="0" borderId="1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</xdr:row>
      <xdr:rowOff>0</xdr:rowOff>
    </xdr:from>
    <xdr:ext cx="1600200" cy="581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67"/>
  <sheetFormatPr defaultRowHeight="15" outlineLevelRow="0" outlineLevelCol="0" x14ac:dyDescent="55"/>
  <cols>
    <col min="1" max="1" width="6" style="1" customWidth="1"/>
    <col min="2" max="2" width="15" style="1" customWidth="1"/>
    <col min="3" max="3" width="10" style="1" customWidth="1"/>
    <col min="4" max="4" width="12" style="1" customWidth="1"/>
    <col min="5" max="5" width="16" style="1" customWidth="1"/>
    <col min="6" max="6" width="13" style="2" customWidth="1"/>
    <col min="7" max="7" width="15.5" style="2" customWidth="1"/>
    <col min="8" max="8" width="20" style="2" customWidth="1"/>
    <col min="9" max="9" width="12" style="3" customWidth="1"/>
    <col min="10" max="12" width="13" style="2" customWidth="1"/>
  </cols>
  <sheetData>
    <row r="3" spans="6:12" x14ac:dyDescent="0.25">
      <c r="F3" s="4" t="s">
        <v>0</v>
      </c>
      <c r="G3" s="2"/>
      <c r="H3" s="2"/>
      <c r="I3" s="3"/>
      <c r="J3" s="2"/>
      <c r="K3" s="2"/>
      <c r="L3" s="2"/>
    </row>
    <row r="4" spans="6:12" x14ac:dyDescent="0.25">
      <c r="F4" s="4" t="s">
        <v>1</v>
      </c>
      <c r="G4" s="2"/>
      <c r="H4" s="2"/>
      <c r="I4" s="3"/>
      <c r="J4" s="2"/>
      <c r="K4" s="2"/>
      <c r="L4" s="2"/>
    </row>
    <row r="5" spans="6:12" x14ac:dyDescent="0.25">
      <c r="F5" s="4" t="s">
        <v>2</v>
      </c>
      <c r="G5" s="2"/>
      <c r="H5" s="2"/>
      <c r="I5" s="3"/>
      <c r="J5" s="2"/>
      <c r="K5" s="2"/>
      <c r="L5" s="2"/>
    </row>
    <row r="7" spans="1:12" x14ac:dyDescent="0.25">
      <c r="A7" s="5" t="s">
        <v>3</v>
      </c>
      <c r="B7" s="5"/>
      <c r="C7" s="5"/>
      <c r="D7" s="5"/>
      <c r="E7" s="5"/>
      <c r="F7" s="5"/>
      <c r="G7" s="5"/>
      <c r="H7" s="5"/>
      <c r="I7" s="3"/>
      <c r="J7" s="2"/>
      <c r="K7" s="2"/>
      <c r="L7" s="2"/>
    </row>
    <row r="8" spans="1:12" x14ac:dyDescent="0.25">
      <c r="A8" s="6" t="s">
        <v>4</v>
      </c>
      <c r="B8" s="6"/>
      <c r="C8" s="6"/>
      <c r="D8" s="6"/>
      <c r="E8" s="6"/>
      <c r="F8" s="6"/>
      <c r="G8" s="6"/>
      <c r="H8" s="6"/>
      <c r="I8" s="3"/>
      <c r="J8" s="2"/>
      <c r="K8" s="2"/>
      <c r="L8" s="2"/>
    </row>
    <row r="10" spans="1:12" x14ac:dyDescent="0.25">
      <c r="A10" s="1"/>
      <c r="B10" s="7" t="s">
        <v>5</v>
      </c>
      <c r="C10" s="1"/>
      <c r="D10" s="1"/>
      <c r="E10" s="7" t="s">
        <v>6</v>
      </c>
      <c r="F10" s="2" t="s">
        <v>7</v>
      </c>
      <c r="G10" s="2"/>
      <c r="H10" s="2"/>
      <c r="I10" s="3"/>
      <c r="J10" s="2"/>
      <c r="K10" s="2"/>
      <c r="L10" s="2"/>
    </row>
    <row r="11" spans="1:12" x14ac:dyDescent="0.25">
      <c r="A11" s="1"/>
      <c r="B11" s="7" t="s">
        <v>8</v>
      </c>
      <c r="F11" s="2"/>
      <c r="G11" s="2"/>
      <c r="H11" s="2"/>
      <c r="I11" s="3"/>
      <c r="J11" s="2"/>
      <c r="K11" s="2"/>
      <c r="L11" s="2"/>
    </row>
    <row r="12" spans="1:12" x14ac:dyDescent="0.25">
      <c r="A12" s="1"/>
      <c r="B12" s="7" t="s">
        <v>9</v>
      </c>
      <c r="F12" s="2"/>
      <c r="G12" s="2"/>
      <c r="H12" s="2"/>
      <c r="I12" s="3"/>
      <c r="J12" s="2"/>
      <c r="K12" s="2"/>
      <c r="L12" s="2"/>
    </row>
    <row r="14" ht="27.75" customHeight="1" spans="1:12" x14ac:dyDescent="0.25">
      <c r="A14" s="8" t="s">
        <v>10</v>
      </c>
      <c r="B14" s="8" t="s">
        <v>11</v>
      </c>
      <c r="C14" s="8" t="s">
        <v>12</v>
      </c>
      <c r="D14" s="8" t="s">
        <v>13</v>
      </c>
      <c r="E14" s="8" t="s">
        <v>14</v>
      </c>
      <c r="F14" s="9" t="s">
        <v>15</v>
      </c>
      <c r="G14" s="9"/>
      <c r="H14" s="9"/>
      <c r="I14" s="10" t="s">
        <v>16</v>
      </c>
      <c r="J14" s="9" t="s">
        <v>17</v>
      </c>
      <c r="K14" s="9"/>
      <c r="L14" s="9" t="s">
        <v>18</v>
      </c>
    </row>
    <row r="15" ht="27.75" customHeight="1" spans="1:12" x14ac:dyDescent="0.25">
      <c r="A15" s="8"/>
      <c r="B15" s="8"/>
      <c r="C15" s="8"/>
      <c r="D15" s="8"/>
      <c r="E15" s="8"/>
      <c r="F15" s="9" t="s">
        <v>19</v>
      </c>
      <c r="G15" s="9" t="s">
        <v>20</v>
      </c>
      <c r="H15" s="9" t="s">
        <v>21</v>
      </c>
      <c r="I15" s="10"/>
      <c r="J15" s="9" t="s">
        <v>22</v>
      </c>
      <c r="K15" s="9" t="s">
        <v>23</v>
      </c>
      <c r="L15" s="9"/>
    </row>
    <row r="16" ht="26.25" customHeight="1" spans="1:12" s="11" customFormat="1" x14ac:dyDescent="0.25">
      <c r="A16" s="12">
        <v>1</v>
      </c>
      <c r="B16" s="12" t="s">
        <v>24</v>
      </c>
      <c r="C16" s="12" t="s">
        <v>25</v>
      </c>
      <c r="D16" s="12" t="s">
        <v>26</v>
      </c>
      <c r="E16" s="12" t="s">
        <v>27</v>
      </c>
      <c r="F16" s="13">
        <v>3</v>
      </c>
      <c r="G16" s="13">
        <v>17950</v>
      </c>
      <c r="H16" s="13">
        <v>53850</v>
      </c>
      <c r="I16" s="14">
        <v>0.00147</v>
      </c>
      <c r="J16" s="13">
        <v>15</v>
      </c>
      <c r="K16" s="13">
        <v>64</v>
      </c>
      <c r="L16" s="13">
        <v>0</v>
      </c>
    </row>
    <row r="17" ht="26.25" customHeight="1" spans="1:12" s="11" customFormat="1" x14ac:dyDescent="0.25">
      <c r="A17" s="12">
        <v>2</v>
      </c>
      <c r="B17" s="12" t="s">
        <v>24</v>
      </c>
      <c r="C17" s="12" t="s">
        <v>25</v>
      </c>
      <c r="D17" s="12" t="s">
        <v>28</v>
      </c>
      <c r="E17" s="12" t="s">
        <v>27</v>
      </c>
      <c r="F17" s="13">
        <v>26</v>
      </c>
      <c r="G17" s="13">
        <v>16250</v>
      </c>
      <c r="H17" s="13">
        <v>422500</v>
      </c>
      <c r="I17" s="14">
        <v>0.00147</v>
      </c>
      <c r="J17" s="13">
        <v>114</v>
      </c>
      <c r="K17" s="13">
        <v>507</v>
      </c>
      <c r="L17" s="13">
        <v>0</v>
      </c>
    </row>
    <row r="18" ht="26.25" customHeight="1" spans="1:12" s="11" customFormat="1" x14ac:dyDescent="0.25">
      <c r="A18" s="12">
        <v>3</v>
      </c>
      <c r="B18" s="12" t="s">
        <v>24</v>
      </c>
      <c r="C18" s="12" t="s">
        <v>25</v>
      </c>
      <c r="D18" s="12" t="s">
        <v>28</v>
      </c>
      <c r="E18" s="12" t="s">
        <v>27</v>
      </c>
      <c r="F18" s="13">
        <v>43</v>
      </c>
      <c r="G18" s="13">
        <v>16250</v>
      </c>
      <c r="H18" s="13">
        <v>698750</v>
      </c>
      <c r="I18" s="14">
        <v>0.00147</v>
      </c>
      <c r="J18" s="13">
        <v>189</v>
      </c>
      <c r="K18" s="13">
        <v>838</v>
      </c>
      <c r="L18" s="13">
        <v>0</v>
      </c>
    </row>
    <row r="19" ht="26.25" customHeight="1" spans="1:12" s="11" customFormat="1" x14ac:dyDescent="0.25">
      <c r="A19" s="12">
        <v>4</v>
      </c>
      <c r="B19" s="12" t="s">
        <v>24</v>
      </c>
      <c r="C19" s="12" t="s">
        <v>25</v>
      </c>
      <c r="D19" s="12" t="s">
        <v>28</v>
      </c>
      <c r="E19" s="12" t="s">
        <v>27</v>
      </c>
      <c r="F19" s="13">
        <v>1</v>
      </c>
      <c r="G19" s="13">
        <v>16250</v>
      </c>
      <c r="H19" s="13">
        <v>16250</v>
      </c>
      <c r="I19" s="14">
        <v>0.00147</v>
      </c>
      <c r="J19" s="13">
        <v>4</v>
      </c>
      <c r="K19" s="13">
        <v>20</v>
      </c>
      <c r="L19" s="13">
        <v>0</v>
      </c>
    </row>
    <row r="20" ht="26.25" customHeight="1" spans="1:12" s="11" customFormat="1" x14ac:dyDescent="0.25">
      <c r="A20" s="12">
        <v>5</v>
      </c>
      <c r="B20" s="12" t="s">
        <v>29</v>
      </c>
      <c r="C20" s="12" t="s">
        <v>30</v>
      </c>
      <c r="D20" s="12" t="s">
        <v>31</v>
      </c>
      <c r="E20" s="12" t="s">
        <v>27</v>
      </c>
      <c r="F20" s="13">
        <v>18</v>
      </c>
      <c r="G20" s="13">
        <v>41000</v>
      </c>
      <c r="H20" s="13">
        <v>738000</v>
      </c>
      <c r="I20" s="14">
        <v>0.00147</v>
      </c>
      <c r="J20" s="13">
        <v>199</v>
      </c>
      <c r="K20" s="13">
        <v>886</v>
      </c>
      <c r="L20" s="13">
        <v>738</v>
      </c>
    </row>
    <row r="21" ht="26.25" customHeight="1" spans="1:12" s="11" customFormat="1" x14ac:dyDescent="0.25">
      <c r="A21" s="12">
        <v>6</v>
      </c>
      <c r="B21" s="12" t="s">
        <v>29</v>
      </c>
      <c r="C21" s="12" t="s">
        <v>30</v>
      </c>
      <c r="D21" s="12" t="s">
        <v>31</v>
      </c>
      <c r="E21" s="12" t="s">
        <v>27</v>
      </c>
      <c r="F21" s="13">
        <v>7</v>
      </c>
      <c r="G21" s="13">
        <v>41000</v>
      </c>
      <c r="H21" s="13">
        <v>287000</v>
      </c>
      <c r="I21" s="14">
        <v>0.00147</v>
      </c>
      <c r="J21" s="13">
        <v>77</v>
      </c>
      <c r="K21" s="13">
        <v>345</v>
      </c>
      <c r="L21" s="13">
        <v>287</v>
      </c>
    </row>
    <row r="22" ht="26.25" customHeight="1" spans="1:12" s="11" customFormat="1" x14ac:dyDescent="0.25">
      <c r="A22" s="12">
        <v>7</v>
      </c>
      <c r="B22" s="12" t="s">
        <v>29</v>
      </c>
      <c r="C22" s="12" t="s">
        <v>30</v>
      </c>
      <c r="D22" s="12" t="s">
        <v>31</v>
      </c>
      <c r="E22" s="12" t="s">
        <v>27</v>
      </c>
      <c r="F22" s="13">
        <v>4</v>
      </c>
      <c r="G22" s="13">
        <v>41000</v>
      </c>
      <c r="H22" s="13">
        <v>164000</v>
      </c>
      <c r="I22" s="14">
        <v>0.00147</v>
      </c>
      <c r="J22" s="13">
        <v>44</v>
      </c>
      <c r="K22" s="13">
        <v>197</v>
      </c>
      <c r="L22" s="13">
        <v>164</v>
      </c>
    </row>
    <row r="23" ht="26.25" customHeight="1" spans="1:12" s="11" customFormat="1" x14ac:dyDescent="0.25">
      <c r="A23" s="12">
        <v>8</v>
      </c>
      <c r="B23" s="12" t="s">
        <v>32</v>
      </c>
      <c r="C23" s="12" t="s">
        <v>25</v>
      </c>
      <c r="D23" s="12" t="s">
        <v>31</v>
      </c>
      <c r="E23" s="12" t="s">
        <v>27</v>
      </c>
      <c r="F23" s="13">
        <v>29</v>
      </c>
      <c r="G23" s="13">
        <v>37000</v>
      </c>
      <c r="H23" s="13">
        <v>1073000</v>
      </c>
      <c r="I23" s="14">
        <v>0.00147</v>
      </c>
      <c r="J23" s="13">
        <v>290</v>
      </c>
      <c r="K23" s="13">
        <v>1287</v>
      </c>
      <c r="L23" s="13">
        <v>0</v>
      </c>
    </row>
    <row r="24" ht="26.25" customHeight="1" spans="1:12" s="11" customFormat="1" x14ac:dyDescent="0.25">
      <c r="A24" s="12">
        <v>9</v>
      </c>
      <c r="B24" s="12" t="s">
        <v>33</v>
      </c>
      <c r="C24" s="12" t="s">
        <v>30</v>
      </c>
      <c r="D24" s="12" t="s">
        <v>34</v>
      </c>
      <c r="E24" s="12" t="s">
        <v>27</v>
      </c>
      <c r="F24" s="13">
        <v>14</v>
      </c>
      <c r="G24" s="13">
        <v>24100</v>
      </c>
      <c r="H24" s="13">
        <v>337400</v>
      </c>
      <c r="I24" s="14">
        <v>0.00147</v>
      </c>
      <c r="J24" s="13">
        <v>91</v>
      </c>
      <c r="K24" s="13">
        <v>405</v>
      </c>
      <c r="L24" s="13">
        <v>337.4</v>
      </c>
    </row>
    <row r="25" ht="26.25" customHeight="1" spans="1:12" s="11" customFormat="1" x14ac:dyDescent="0.25">
      <c r="A25" s="12">
        <v>10</v>
      </c>
      <c r="B25" s="12" t="s">
        <v>33</v>
      </c>
      <c r="C25" s="12" t="s">
        <v>30</v>
      </c>
      <c r="D25" s="12" t="s">
        <v>34</v>
      </c>
      <c r="E25" s="12" t="s">
        <v>27</v>
      </c>
      <c r="F25" s="13">
        <v>1</v>
      </c>
      <c r="G25" s="13">
        <v>24100</v>
      </c>
      <c r="H25" s="13">
        <v>24100</v>
      </c>
      <c r="I25" s="14">
        <v>0.00147</v>
      </c>
      <c r="J25" s="13">
        <v>7</v>
      </c>
      <c r="K25" s="13">
        <v>28</v>
      </c>
      <c r="L25" s="13">
        <v>24.1</v>
      </c>
    </row>
    <row r="26" ht="26.25" customHeight="1" spans="1:12" s="11" customFormat="1" x14ac:dyDescent="0.25">
      <c r="A26" s="12">
        <v>11</v>
      </c>
      <c r="B26" s="12" t="s">
        <v>35</v>
      </c>
      <c r="C26" s="12" t="s">
        <v>30</v>
      </c>
      <c r="D26" s="12" t="s">
        <v>36</v>
      </c>
      <c r="E26" s="12" t="s">
        <v>27</v>
      </c>
      <c r="F26" s="13">
        <v>8</v>
      </c>
      <c r="G26" s="13">
        <v>83900</v>
      </c>
      <c r="H26" s="13">
        <v>671200</v>
      </c>
      <c r="I26" s="14">
        <v>0.00147</v>
      </c>
      <c r="J26" s="13">
        <v>181</v>
      </c>
      <c r="K26" s="13">
        <v>806</v>
      </c>
      <c r="L26" s="13">
        <v>671.2</v>
      </c>
    </row>
    <row r="27" ht="26.25" customHeight="1" spans="1:12" s="11" customFormat="1" x14ac:dyDescent="0.25">
      <c r="A27" s="12">
        <v>12</v>
      </c>
      <c r="B27" s="12" t="s">
        <v>37</v>
      </c>
      <c r="C27" s="12" t="s">
        <v>25</v>
      </c>
      <c r="D27" s="12" t="s">
        <v>34</v>
      </c>
      <c r="E27" s="12" t="s">
        <v>27</v>
      </c>
      <c r="F27" s="13">
        <v>15</v>
      </c>
      <c r="G27" s="13">
        <v>23700</v>
      </c>
      <c r="H27" s="13">
        <v>355500</v>
      </c>
      <c r="I27" s="14">
        <v>0.00147</v>
      </c>
      <c r="J27" s="13">
        <v>96</v>
      </c>
      <c r="K27" s="13">
        <v>427</v>
      </c>
      <c r="L27" s="13">
        <v>0</v>
      </c>
    </row>
    <row r="28" ht="26.25" customHeight="1" spans="1:12" s="11" customFormat="1" x14ac:dyDescent="0.25">
      <c r="A28" s="12">
        <v>13</v>
      </c>
      <c r="B28" s="12" t="s">
        <v>38</v>
      </c>
      <c r="C28" s="12" t="s">
        <v>30</v>
      </c>
      <c r="D28" s="12" t="s">
        <v>28</v>
      </c>
      <c r="E28" s="12" t="s">
        <v>27</v>
      </c>
      <c r="F28" s="13">
        <v>4</v>
      </c>
      <c r="G28" s="13">
        <v>14350</v>
      </c>
      <c r="H28" s="13">
        <v>57400</v>
      </c>
      <c r="I28" s="14">
        <v>0.00147</v>
      </c>
      <c r="J28" s="13">
        <v>15</v>
      </c>
      <c r="K28" s="13">
        <v>69</v>
      </c>
      <c r="L28" s="13">
        <v>57.4</v>
      </c>
    </row>
    <row r="29" ht="26.25" customHeight="1" spans="1:12" s="11" customFormat="1" x14ac:dyDescent="0.25">
      <c r="A29" s="12">
        <v>14</v>
      </c>
      <c r="B29" s="12" t="s">
        <v>38</v>
      </c>
      <c r="C29" s="12" t="s">
        <v>30</v>
      </c>
      <c r="D29" s="12" t="s">
        <v>28</v>
      </c>
      <c r="E29" s="12" t="s">
        <v>27</v>
      </c>
      <c r="F29" s="13">
        <v>19</v>
      </c>
      <c r="G29" s="13">
        <v>14350</v>
      </c>
      <c r="H29" s="13">
        <v>272650</v>
      </c>
      <c r="I29" s="14">
        <v>0.00147</v>
      </c>
      <c r="J29" s="13">
        <v>74</v>
      </c>
      <c r="K29" s="13">
        <v>327</v>
      </c>
      <c r="L29" s="13">
        <v>272.65</v>
      </c>
    </row>
    <row r="30" ht="26.25" customHeight="1" spans="1:12" s="11" customFormat="1" x14ac:dyDescent="0.25">
      <c r="A30" s="12">
        <v>15</v>
      </c>
      <c r="B30" s="12" t="s">
        <v>38</v>
      </c>
      <c r="C30" s="12" t="s">
        <v>30</v>
      </c>
      <c r="D30" s="12" t="s">
        <v>28</v>
      </c>
      <c r="E30" s="12" t="s">
        <v>27</v>
      </c>
      <c r="F30" s="13">
        <v>2</v>
      </c>
      <c r="G30" s="13">
        <v>14350</v>
      </c>
      <c r="H30" s="13">
        <v>28700</v>
      </c>
      <c r="I30" s="14">
        <v>0.00147</v>
      </c>
      <c r="J30" s="13">
        <v>8</v>
      </c>
      <c r="K30" s="13">
        <v>34</v>
      </c>
      <c r="L30" s="13">
        <v>28.7</v>
      </c>
    </row>
    <row r="31" ht="26.25" customHeight="1" spans="1:12" s="11" customFormat="1" x14ac:dyDescent="0.25">
      <c r="A31" s="12">
        <v>16</v>
      </c>
      <c r="B31" s="12" t="s">
        <v>39</v>
      </c>
      <c r="C31" s="12" t="s">
        <v>25</v>
      </c>
      <c r="D31" s="12" t="s">
        <v>36</v>
      </c>
      <c r="E31" s="12" t="s">
        <v>27</v>
      </c>
      <c r="F31" s="13">
        <v>8</v>
      </c>
      <c r="G31" s="13">
        <v>81900</v>
      </c>
      <c r="H31" s="13">
        <v>655200</v>
      </c>
      <c r="I31" s="14">
        <v>0.00147</v>
      </c>
      <c r="J31" s="13">
        <v>177</v>
      </c>
      <c r="K31" s="13">
        <v>786</v>
      </c>
      <c r="L31" s="13">
        <v>0</v>
      </c>
    </row>
    <row r="32" ht="26.25" customHeight="1" spans="1:12" s="11" customFormat="1" x14ac:dyDescent="0.25">
      <c r="A32" s="12">
        <v>17</v>
      </c>
      <c r="B32" s="12" t="s">
        <v>40</v>
      </c>
      <c r="C32" s="12" t="s">
        <v>25</v>
      </c>
      <c r="D32" s="12" t="s">
        <v>28</v>
      </c>
      <c r="E32" s="12" t="s">
        <v>27</v>
      </c>
      <c r="F32" s="13">
        <v>11</v>
      </c>
      <c r="G32" s="13">
        <v>14000</v>
      </c>
      <c r="H32" s="13">
        <v>154000</v>
      </c>
      <c r="I32" s="14">
        <v>0.00147</v>
      </c>
      <c r="J32" s="13">
        <v>42</v>
      </c>
      <c r="K32" s="13">
        <v>184</v>
      </c>
      <c r="L32" s="13">
        <v>0</v>
      </c>
    </row>
    <row r="33" ht="26.25" customHeight="1" spans="1:12" s="11" customFormat="1" x14ac:dyDescent="0.25">
      <c r="A33" s="12">
        <v>18</v>
      </c>
      <c r="B33" s="12" t="s">
        <v>40</v>
      </c>
      <c r="C33" s="12" t="s">
        <v>25</v>
      </c>
      <c r="D33" s="12" t="s">
        <v>28</v>
      </c>
      <c r="E33" s="12" t="s">
        <v>27</v>
      </c>
      <c r="F33" s="13">
        <v>31</v>
      </c>
      <c r="G33" s="13">
        <v>14000</v>
      </c>
      <c r="H33" s="13">
        <v>434000</v>
      </c>
      <c r="I33" s="14">
        <v>0.00147</v>
      </c>
      <c r="J33" s="13">
        <v>117</v>
      </c>
      <c r="K33" s="13">
        <v>521</v>
      </c>
      <c r="L33" s="13">
        <v>0</v>
      </c>
    </row>
    <row r="34" ht="26.25" customHeight="1" spans="1:12" s="11" customFormat="1" x14ac:dyDescent="0.25">
      <c r="A34" s="12">
        <v>19</v>
      </c>
      <c r="B34" s="12" t="s">
        <v>41</v>
      </c>
      <c r="C34" s="12" t="s">
        <v>25</v>
      </c>
      <c r="D34" s="12" t="s">
        <v>26</v>
      </c>
      <c r="E34" s="12" t="s">
        <v>27</v>
      </c>
      <c r="F34" s="13">
        <v>100</v>
      </c>
      <c r="G34" s="13">
        <v>24000</v>
      </c>
      <c r="H34" s="13">
        <v>2400000</v>
      </c>
      <c r="I34" s="14">
        <v>0.00147</v>
      </c>
      <c r="J34" s="13">
        <v>648</v>
      </c>
      <c r="K34" s="13">
        <v>2880</v>
      </c>
      <c r="L34" s="13">
        <v>0</v>
      </c>
    </row>
    <row r="35" ht="26.25" customHeight="1" spans="1:12" s="11" customFormat="1" x14ac:dyDescent="0.25">
      <c r="A35" s="12">
        <v>20</v>
      </c>
      <c r="B35" s="12" t="s">
        <v>41</v>
      </c>
      <c r="C35" s="12" t="s">
        <v>30</v>
      </c>
      <c r="D35" s="12" t="s">
        <v>42</v>
      </c>
      <c r="E35" s="12" t="s">
        <v>27</v>
      </c>
      <c r="F35" s="13">
        <v>2</v>
      </c>
      <c r="G35" s="13">
        <v>28550</v>
      </c>
      <c r="H35" s="13">
        <v>57100</v>
      </c>
      <c r="I35" s="14">
        <v>0.00147</v>
      </c>
      <c r="J35" s="13">
        <v>15</v>
      </c>
      <c r="K35" s="13">
        <v>69</v>
      </c>
      <c r="L35" s="13">
        <v>57.1</v>
      </c>
    </row>
    <row r="36" ht="26.25" customHeight="1" spans="1:12" s="11" customFormat="1" x14ac:dyDescent="0.25">
      <c r="A36" s="12">
        <v>21</v>
      </c>
      <c r="B36" s="12" t="s">
        <v>41</v>
      </c>
      <c r="C36" s="12" t="s">
        <v>30</v>
      </c>
      <c r="D36" s="12" t="s">
        <v>42</v>
      </c>
      <c r="E36" s="12" t="s">
        <v>27</v>
      </c>
      <c r="F36" s="13">
        <v>8</v>
      </c>
      <c r="G36" s="13">
        <v>28550</v>
      </c>
      <c r="H36" s="13">
        <v>228400</v>
      </c>
      <c r="I36" s="14">
        <v>0.00147</v>
      </c>
      <c r="J36" s="13">
        <v>62</v>
      </c>
      <c r="K36" s="13">
        <v>274</v>
      </c>
      <c r="L36" s="13">
        <v>228.4</v>
      </c>
    </row>
    <row r="37" ht="26.25" customHeight="1" spans="1:12" s="11" customFormat="1" x14ac:dyDescent="0.25">
      <c r="A37" s="12">
        <v>22</v>
      </c>
      <c r="B37" s="12" t="s">
        <v>41</v>
      </c>
      <c r="C37" s="12" t="s">
        <v>30</v>
      </c>
      <c r="D37" s="12" t="s">
        <v>42</v>
      </c>
      <c r="E37" s="12" t="s">
        <v>27</v>
      </c>
      <c r="F37" s="13">
        <v>4</v>
      </c>
      <c r="G37" s="13">
        <v>28550</v>
      </c>
      <c r="H37" s="13">
        <v>114200</v>
      </c>
      <c r="I37" s="14">
        <v>0.00147</v>
      </c>
      <c r="J37" s="13">
        <v>31</v>
      </c>
      <c r="K37" s="13">
        <v>137</v>
      </c>
      <c r="L37" s="13">
        <v>1114.2</v>
      </c>
    </row>
    <row r="38" ht="26.25" customHeight="1" spans="1:12" s="11" customFormat="1" x14ac:dyDescent="0.25">
      <c r="A38" s="12">
        <v>23</v>
      </c>
      <c r="B38" s="12" t="s">
        <v>41</v>
      </c>
      <c r="C38" s="12" t="s">
        <v>30</v>
      </c>
      <c r="D38" s="12" t="s">
        <v>42</v>
      </c>
      <c r="E38" s="12" t="s">
        <v>27</v>
      </c>
      <c r="F38" s="13">
        <v>3</v>
      </c>
      <c r="G38" s="13">
        <v>28550</v>
      </c>
      <c r="H38" s="13">
        <v>85650</v>
      </c>
      <c r="I38" s="14">
        <v>0.00147</v>
      </c>
      <c r="J38" s="13">
        <v>23</v>
      </c>
      <c r="K38" s="13">
        <v>103</v>
      </c>
      <c r="L38" s="13">
        <v>85.65</v>
      </c>
    </row>
    <row r="39" ht="26.25" customHeight="1" spans="1:12" s="11" customFormat="1" x14ac:dyDescent="0.25">
      <c r="A39" s="12">
        <v>24</v>
      </c>
      <c r="B39" s="12" t="s">
        <v>41</v>
      </c>
      <c r="C39" s="12" t="s">
        <v>30</v>
      </c>
      <c r="D39" s="12" t="s">
        <v>42</v>
      </c>
      <c r="E39" s="12" t="s">
        <v>27</v>
      </c>
      <c r="F39" s="13">
        <v>46</v>
      </c>
      <c r="G39" s="13">
        <v>28550</v>
      </c>
      <c r="H39" s="13">
        <v>1313300</v>
      </c>
      <c r="I39" s="14">
        <v>0.00147</v>
      </c>
      <c r="J39" s="13">
        <v>355</v>
      </c>
      <c r="K39" s="13">
        <v>1576</v>
      </c>
      <c r="L39" s="13">
        <v>1313.3</v>
      </c>
    </row>
    <row r="40" ht="26.25" customHeight="1" spans="1:12" s="11" customFormat="1" x14ac:dyDescent="0.25">
      <c r="A40" s="12">
        <v>25</v>
      </c>
      <c r="B40" s="12" t="s">
        <v>43</v>
      </c>
      <c r="C40" s="12" t="s">
        <v>30</v>
      </c>
      <c r="D40" s="12" t="s">
        <v>44</v>
      </c>
      <c r="E40" s="12" t="s">
        <v>27</v>
      </c>
      <c r="F40" s="13">
        <v>18</v>
      </c>
      <c r="G40" s="13">
        <v>19050</v>
      </c>
      <c r="H40" s="13">
        <v>342900</v>
      </c>
      <c r="I40" s="14">
        <v>0.00147</v>
      </c>
      <c r="J40" s="13">
        <v>93</v>
      </c>
      <c r="K40" s="13">
        <v>411</v>
      </c>
      <c r="L40" s="13">
        <v>342.9</v>
      </c>
    </row>
    <row r="41" ht="26.25" customHeight="1" spans="1:12" s="11" customFormat="1" x14ac:dyDescent="0.25">
      <c r="A41" s="12">
        <v>26</v>
      </c>
      <c r="B41" s="12" t="s">
        <v>43</v>
      </c>
      <c r="C41" s="12" t="s">
        <v>30</v>
      </c>
      <c r="D41" s="12" t="s">
        <v>44</v>
      </c>
      <c r="E41" s="12" t="s">
        <v>27</v>
      </c>
      <c r="F41" s="13">
        <v>12</v>
      </c>
      <c r="G41" s="13">
        <v>19000</v>
      </c>
      <c r="H41" s="13">
        <v>228000</v>
      </c>
      <c r="I41" s="14">
        <v>0.00147</v>
      </c>
      <c r="J41" s="13">
        <v>62</v>
      </c>
      <c r="K41" s="13">
        <v>273</v>
      </c>
      <c r="L41" s="13">
        <v>228</v>
      </c>
    </row>
    <row r="42" ht="26.25" customHeight="1" spans="1:12" s="11" customFormat="1" x14ac:dyDescent="0.25">
      <c r="A42" s="12">
        <v>27</v>
      </c>
      <c r="B42" s="12" t="s">
        <v>45</v>
      </c>
      <c r="C42" s="12" t="s">
        <v>30</v>
      </c>
      <c r="D42" s="12" t="s">
        <v>46</v>
      </c>
      <c r="E42" s="12" t="s">
        <v>27</v>
      </c>
      <c r="F42" s="13">
        <v>100</v>
      </c>
      <c r="G42" s="13">
        <v>4550</v>
      </c>
      <c r="H42" s="13">
        <v>455000</v>
      </c>
      <c r="I42" s="14">
        <v>0.00147</v>
      </c>
      <c r="J42" s="13">
        <v>123</v>
      </c>
      <c r="K42" s="13">
        <v>546</v>
      </c>
      <c r="L42" s="13">
        <v>455</v>
      </c>
    </row>
    <row r="43" ht="26.25" customHeight="1" spans="1:12" s="11" customFormat="1" x14ac:dyDescent="0.25">
      <c r="A43" s="12">
        <v>28</v>
      </c>
      <c r="B43" s="12" t="s">
        <v>47</v>
      </c>
      <c r="C43" s="12" t="s">
        <v>25</v>
      </c>
      <c r="D43" s="12" t="s">
        <v>44</v>
      </c>
      <c r="E43" s="12" t="s">
        <v>27</v>
      </c>
      <c r="F43" s="13">
        <v>30</v>
      </c>
      <c r="G43" s="13">
        <v>20500</v>
      </c>
      <c r="H43" s="13">
        <v>615000</v>
      </c>
      <c r="I43" s="14">
        <v>0.00147</v>
      </c>
      <c r="J43" s="13">
        <v>166</v>
      </c>
      <c r="K43" s="13">
        <v>738</v>
      </c>
      <c r="L43" s="13">
        <v>0</v>
      </c>
    </row>
    <row r="44" ht="26.25" customHeight="1" spans="1:12" s="11" customFormat="1" x14ac:dyDescent="0.25">
      <c r="A44" s="12">
        <v>29</v>
      </c>
      <c r="B44" s="12" t="s">
        <v>47</v>
      </c>
      <c r="C44" s="12" t="s">
        <v>25</v>
      </c>
      <c r="D44" s="12" t="s">
        <v>42</v>
      </c>
      <c r="E44" s="12" t="s">
        <v>27</v>
      </c>
      <c r="F44" s="13">
        <v>12</v>
      </c>
      <c r="G44" s="13">
        <v>29400</v>
      </c>
      <c r="H44" s="13">
        <v>352800</v>
      </c>
      <c r="I44" s="14">
        <v>0.00147</v>
      </c>
      <c r="J44" s="13">
        <v>95</v>
      </c>
      <c r="K44" s="13">
        <v>424</v>
      </c>
      <c r="L44" s="13">
        <v>0</v>
      </c>
    </row>
    <row r="45" ht="26.25" customHeight="1" spans="1:12" s="11" customFormat="1" x14ac:dyDescent="0.25">
      <c r="A45" s="12">
        <v>30</v>
      </c>
      <c r="B45" s="12" t="s">
        <v>47</v>
      </c>
      <c r="C45" s="12" t="s">
        <v>25</v>
      </c>
      <c r="D45" s="12" t="s">
        <v>42</v>
      </c>
      <c r="E45" s="12" t="s">
        <v>27</v>
      </c>
      <c r="F45" s="13">
        <v>38</v>
      </c>
      <c r="G45" s="13">
        <v>29400</v>
      </c>
      <c r="H45" s="13">
        <v>1117200</v>
      </c>
      <c r="I45" s="14">
        <v>0.00147</v>
      </c>
      <c r="J45" s="13">
        <v>302</v>
      </c>
      <c r="K45" s="13">
        <v>1340</v>
      </c>
      <c r="L45" s="13">
        <v>0</v>
      </c>
    </row>
    <row r="46" ht="26.25" customHeight="1" spans="1:12" s="11" customFormat="1" x14ac:dyDescent="0.25">
      <c r="A46" s="12">
        <v>31</v>
      </c>
      <c r="B46" s="12" t="s">
        <v>48</v>
      </c>
      <c r="C46" s="12" t="s">
        <v>25</v>
      </c>
      <c r="D46" s="12" t="s">
        <v>46</v>
      </c>
      <c r="E46" s="12" t="s">
        <v>27</v>
      </c>
      <c r="F46" s="13">
        <v>100</v>
      </c>
      <c r="G46" s="13">
        <v>2990</v>
      </c>
      <c r="H46" s="13">
        <v>299000</v>
      </c>
      <c r="I46" s="14">
        <v>0.00147</v>
      </c>
      <c r="J46" s="13">
        <v>81</v>
      </c>
      <c r="K46" s="13">
        <v>359</v>
      </c>
      <c r="L46" s="13">
        <v>0</v>
      </c>
    </row>
    <row r="47" ht="26.25" customHeight="1" spans="1:12" s="11" customFormat="1" x14ac:dyDescent="0.25">
      <c r="A47" s="12">
        <v>32</v>
      </c>
      <c r="B47" s="12" t="s">
        <v>49</v>
      </c>
      <c r="C47" s="12" t="s">
        <v>30</v>
      </c>
      <c r="D47" s="12" t="s">
        <v>50</v>
      </c>
      <c r="E47" s="12" t="s">
        <v>27</v>
      </c>
      <c r="F47" s="13">
        <v>100</v>
      </c>
      <c r="G47" s="13">
        <v>10200</v>
      </c>
      <c r="H47" s="13">
        <v>1020000</v>
      </c>
      <c r="I47" s="14">
        <v>0.00147</v>
      </c>
      <c r="J47" s="13">
        <v>275</v>
      </c>
      <c r="K47" s="13">
        <v>1224</v>
      </c>
      <c r="L47" s="13">
        <v>1020</v>
      </c>
    </row>
    <row r="48" ht="26.25" customHeight="1" spans="1:12" s="11" customFormat="1" x14ac:dyDescent="0.25">
      <c r="A48" s="12">
        <v>33</v>
      </c>
      <c r="B48" s="12" t="s">
        <v>51</v>
      </c>
      <c r="C48" s="12" t="s">
        <v>25</v>
      </c>
      <c r="D48" s="12" t="s">
        <v>50</v>
      </c>
      <c r="E48" s="12" t="s">
        <v>27</v>
      </c>
      <c r="F48" s="13">
        <v>100</v>
      </c>
      <c r="G48" s="13">
        <v>8790</v>
      </c>
      <c r="H48" s="13">
        <v>879000</v>
      </c>
      <c r="I48" s="14">
        <v>0.00147</v>
      </c>
      <c r="J48" s="13">
        <v>237</v>
      </c>
      <c r="K48" s="13">
        <v>1055</v>
      </c>
      <c r="L48" s="13">
        <v>0</v>
      </c>
    </row>
    <row r="49" ht="26.25" customHeight="1" spans="1:12" s="11" customFormat="1" x14ac:dyDescent="0.25">
      <c r="A49" s="12">
        <v>34</v>
      </c>
      <c r="B49" s="12" t="s">
        <v>52</v>
      </c>
      <c r="C49" s="12" t="s">
        <v>30</v>
      </c>
      <c r="D49" s="12" t="s">
        <v>53</v>
      </c>
      <c r="E49" s="12" t="s">
        <v>27</v>
      </c>
      <c r="F49" s="13">
        <v>200</v>
      </c>
      <c r="G49" s="13">
        <v>5070</v>
      </c>
      <c r="H49" s="13">
        <v>1014000</v>
      </c>
      <c r="I49" s="14">
        <v>0.00147</v>
      </c>
      <c r="J49" s="13">
        <v>274</v>
      </c>
      <c r="K49" s="13">
        <v>1217</v>
      </c>
      <c r="L49" s="13">
        <v>1014</v>
      </c>
    </row>
    <row r="50" ht="26.25" customHeight="1" spans="1:12" s="11" customFormat="1" x14ac:dyDescent="0.25">
      <c r="A50" s="12">
        <v>35</v>
      </c>
      <c r="B50" s="12" t="s">
        <v>54</v>
      </c>
      <c r="C50" s="12" t="s">
        <v>25</v>
      </c>
      <c r="D50" s="12" t="s">
        <v>53</v>
      </c>
      <c r="E50" s="12" t="s">
        <v>27</v>
      </c>
      <c r="F50" s="13">
        <v>200</v>
      </c>
      <c r="G50" s="13">
        <v>4330</v>
      </c>
      <c r="H50" s="13">
        <v>866000</v>
      </c>
      <c r="I50" s="14">
        <v>0.00147</v>
      </c>
      <c r="J50" s="13">
        <v>234</v>
      </c>
      <c r="K50" s="13">
        <v>1039</v>
      </c>
      <c r="L50" s="13">
        <v>0</v>
      </c>
    </row>
    <row r="51" ht="26.25" customHeight="1" spans="1:12" s="11" customFormat="1" x14ac:dyDescent="0.25">
      <c r="A51" s="12">
        <v>36</v>
      </c>
      <c r="B51" s="12" t="s">
        <v>55</v>
      </c>
      <c r="C51" s="12" t="s">
        <v>30</v>
      </c>
      <c r="D51" s="12" t="s">
        <v>53</v>
      </c>
      <c r="E51" s="12" t="s">
        <v>27</v>
      </c>
      <c r="F51" s="13">
        <v>100</v>
      </c>
      <c r="G51" s="13">
        <v>5640</v>
      </c>
      <c r="H51" s="13">
        <v>564000</v>
      </c>
      <c r="I51" s="14">
        <v>0.00147</v>
      </c>
      <c r="J51" s="13">
        <v>152</v>
      </c>
      <c r="K51" s="13">
        <v>677</v>
      </c>
      <c r="L51" s="13">
        <v>564</v>
      </c>
    </row>
    <row r="52" ht="26.25" customHeight="1" spans="1:12" s="15" customFormat="1" x14ac:dyDescent="0.25">
      <c r="A52" s="16" t="s">
        <v>56</v>
      </c>
      <c r="B52" s="16"/>
      <c r="C52" s="16"/>
      <c r="D52" s="16"/>
      <c r="E52" s="16"/>
      <c r="F52" s="17">
        <f>SUM(F16:F51)</f>
        <v>1417</v>
      </c>
      <c r="G52" s="17"/>
      <c r="H52" s="17">
        <f>SUM(H16:H51)</f>
        <v>18395050</v>
      </c>
      <c r="I52" s="18"/>
      <c r="J52" s="17">
        <f>SUM(J16:J51)</f>
        <v>4968</v>
      </c>
      <c r="K52" s="17">
        <f>SUM(K16:K51)</f>
        <v>22073</v>
      </c>
      <c r="L52" s="17">
        <f>SUM(L16:L51)</f>
        <v>9003</v>
      </c>
    </row>
    <row r="53" ht="26.25" customHeight="1" s="11" customFormat="1" x14ac:dyDescent="0.25"/>
    <row r="54" ht="26.25" customHeight="1" spans="6:12" s="11" customFormat="1" x14ac:dyDescent="0.25">
      <c r="F54" s="19"/>
      <c r="G54" s="19"/>
      <c r="H54" s="20" t="s">
        <v>57</v>
      </c>
      <c r="I54" s="20"/>
      <c r="J54" s="20"/>
      <c r="K54" s="20"/>
      <c r="L54" s="19"/>
    </row>
    <row r="55" ht="26.25" customHeight="1" s="11" customFormat="1" x14ac:dyDescent="0.25"/>
    <row r="56" ht="26.25" customHeight="1" s="11" customFormat="1" x14ac:dyDescent="0.25"/>
    <row r="57" ht="26.25" customHeight="1" s="11" customFormat="1" x14ac:dyDescent="0.25"/>
    <row r="58" ht="26.25" customHeight="1" s="11" customFormat="1" x14ac:dyDescent="0.25"/>
    <row r="59" ht="26.25" customHeight="1" s="11" customFormat="1" x14ac:dyDescent="0.25"/>
    <row r="60" ht="26.25" customHeight="1" s="11" customFormat="1" x14ac:dyDescent="0.25"/>
    <row r="61" ht="26.25" customHeight="1" s="11" customFormat="1" x14ac:dyDescent="0.25"/>
    <row r="62" ht="26.25" customHeight="1" s="11" customFormat="1" x14ac:dyDescent="0.25"/>
    <row r="63" ht="26.25" customHeight="1" s="11" customFormat="1" x14ac:dyDescent="0.25"/>
    <row r="64" ht="26.25" customHeight="1" s="11" customFormat="1" x14ac:dyDescent="0.25"/>
    <row r="65" ht="26.25" customHeight="1" s="11" customFormat="1" x14ac:dyDescent="0.25"/>
    <row r="66" ht="26.25" customHeight="1" s="11" customFormat="1" x14ac:dyDescent="0.25"/>
    <row r="67" ht="26.25" customHeight="1" s="11" customFormat="1" x14ac:dyDescent="0.25"/>
  </sheetData>
  <mergeCells count="13">
    <mergeCell ref="A7:H7"/>
    <mergeCell ref="A8:H8"/>
    <mergeCell ref="F14:H14"/>
    <mergeCell ref="J14:K14"/>
    <mergeCell ref="A14:A15"/>
    <mergeCell ref="B14:B15"/>
    <mergeCell ref="C14:C15"/>
    <mergeCell ref="D14:D15"/>
    <mergeCell ref="E14:E15"/>
    <mergeCell ref="I14:I15"/>
    <mergeCell ref="L14:L15"/>
    <mergeCell ref="A52:E52"/>
    <mergeCell ref="H54:K5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 - LS lãi lỗ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2026-03-28T17:42:33Z</dcterms:created>
  <dcterms:modified xsi:type="dcterms:W3CDTF">2026-03-28T17:42:33Z</dcterms:modified>
</cp:coreProperties>
</file>